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PLANiT\github\pyPPA\"/>
    </mc:Choice>
  </mc:AlternateContent>
  <xr:revisionPtr revIDLastSave="0" documentId="13_ncr:1_{89B9AD36-2A0A-41AF-A200-C96EBE6DEF1E}" xr6:coauthVersionLast="47" xr6:coauthVersionMax="47" xr10:uidLastSave="{00000000-0000-0000-0000-000000000000}"/>
  <bookViews>
    <workbookView xWindow="3948" yWindow="1476" windowWidth="34560" windowHeight="18552" xr2:uid="{FD634187-AE3F-4821-B7D0-C551EE024968}"/>
  </bookViews>
  <sheets>
    <sheet name="scenario_defa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F3" i="1"/>
  <c r="E3" i="1"/>
  <c r="D3" i="1"/>
  <c r="C3" i="1"/>
  <c r="B3" i="1"/>
  <c r="C17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<sst xmlns="http://schemas.openxmlformats.org/spreadsheetml/2006/main" count="65" uniqueCount="51">
  <si>
    <t>Parameter Name</t>
  </si>
  <si>
    <t>Scenario Name</t>
  </si>
  <si>
    <t>Output File Path</t>
  </si>
  <si>
    <t>Load for SK (MW)</t>
  </si>
  <si>
    <t>Load for Samsung (MW)</t>
  </si>
  <si>
    <t>Enable Max Grid Share</t>
  </si>
  <si>
    <t>Max Grid Share (%)</t>
  </si>
  <si>
    <t>Grid Share Condition</t>
  </si>
  <si>
    <t>==</t>
  </si>
  <si>
    <t>Initial Year</t>
  </si>
  <si>
    <t>Analysis Target Year</t>
  </si>
  <si>
    <t>Model Year</t>
  </si>
  <si>
    <t>PPA Payment Type</t>
  </si>
  <si>
    <t>Current</t>
  </si>
  <si>
    <t>Rate Increase (% per year)</t>
  </si>
  <si>
    <t>Selected Sheet</t>
  </si>
  <si>
    <t>SMP Limit</t>
  </si>
  <si>
    <t>Initial SMP (KRW/MWh)</t>
  </si>
  <si>
    <t>SMP Annual Increase (%)</t>
  </si>
  <si>
    <t>Use NGFS Carbon Price Scenario</t>
  </si>
  <si>
    <t>Custom Carbon Price Initial Value (KRW/kgCO2)</t>
  </si>
  <si>
    <t>Custom Carbon Price Annual Increase (%)</t>
  </si>
  <si>
    <t>Initial REC Price (KRW/MWh)</t>
  </si>
  <si>
    <t>REC Reduction</t>
  </si>
  <si>
    <t>REC Price Annual Increase (%)</t>
  </si>
  <si>
    <t>REC Include in PPA Fees</t>
  </si>
  <si>
    <t>Currency Exchange Rate (KRW/USD)</t>
  </si>
  <si>
    <t>Include Battery</t>
  </si>
  <si>
    <t>Battery Capital Cost per MW (KRW)</t>
  </si>
  <si>
    <t>Battery Capital Cost per MWh (KRW)</t>
  </si>
  <si>
    <t>Battery Storage Efficiency (%)</t>
  </si>
  <si>
    <t>Battery Dispatch Efficiency (%)</t>
  </si>
  <si>
    <t>Battery Max Hours (hours)</t>
  </si>
  <si>
    <t>Buffer (m)</t>
  </si>
  <si>
    <t>Bin Size</t>
  </si>
  <si>
    <t>Minimum Capacity (MW)</t>
  </si>
  <si>
    <t>Connection Fees (KRW)</t>
  </si>
  <si>
    <t>Power Density (W/m2)</t>
  </si>
  <si>
    <t>Max Distance (m)</t>
  </si>
  <si>
    <t>Wind Capacity (MW)</t>
  </si>
  <si>
    <t>Levelised</t>
    <phoneticPr fontId="18" type="noConversion"/>
  </si>
  <si>
    <t>HV_C_III</t>
    <phoneticPr fontId="18" type="noConversion"/>
  </si>
  <si>
    <t>Battery Lifespan (years)</t>
    <phoneticPr fontId="18" type="noConversion"/>
  </si>
  <si>
    <t>Discount rate (%)</t>
    <phoneticPr fontId="18" type="noConversion"/>
  </si>
  <si>
    <t>Internal Rate of Return (%)</t>
  </si>
  <si>
    <t>PPA100_REFPV</t>
    <phoneticPr fontId="18" type="noConversion"/>
  </si>
  <si>
    <t>PPA100_highSMPPV</t>
    <phoneticPr fontId="18" type="noConversion"/>
  </si>
  <si>
    <t>PPA100_fixedRECPV</t>
    <phoneticPr fontId="18" type="noConversion"/>
  </si>
  <si>
    <t>PPA100_noRECPV</t>
    <phoneticPr fontId="18" type="noConversion"/>
  </si>
  <si>
    <t>PPA100_MarketPV</t>
    <phoneticPr fontId="18" type="noConversion"/>
  </si>
  <si>
    <t>PPA100_LevelisedPV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</si>
</sst>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5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535E-5386-407C-865F-4665FABC59A2}">
  <dimension ref="A1:G41"/>
  <sheetViews>
    <sheetView tabSelected="1" zoomScale="70" zoomScaleNormal="70" workbookViewId="0">
      <selection activeCell="B3" sqref="B3:G3"/>
    </sheetView>
  </sheetViews>
  <sheetFormatPr defaultRowHeight="17.399999999999999" x14ac:dyDescent="0.4"/>
  <cols>
    <col min="1" max="1" width="46.296875" bestFit="1" customWidth="1"/>
    <col min="2" max="2" width="23.3984375" bestFit="1" customWidth="1"/>
    <col min="3" max="3" width="28.5" bestFit="1" customWidth="1"/>
    <col min="4" max="4" width="28.09765625" bestFit="1" customWidth="1"/>
    <col min="5" max="5" width="26.09765625" customWidth="1"/>
    <col min="6" max="6" width="26.59765625" bestFit="1" customWidth="1"/>
    <col min="7" max="7" width="28.296875" bestFit="1" customWidth="1"/>
  </cols>
  <sheetData>
    <row r="1" spans="1:7" x14ac:dyDescent="0.4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4">
      <c r="A2" t="s">
        <v>1</v>
      </c>
      <c r="B2" t="str">
        <f t="shared" ref="B2:G2" si="0">B1</f>
        <v>PPA100_REFPV</v>
      </c>
      <c r="C2" t="str">
        <f t="shared" si="0"/>
        <v>PPA100_highSMPPV</v>
      </c>
      <c r="D2" t="str">
        <f t="shared" si="0"/>
        <v>PPA100_fixedRECPV</v>
      </c>
      <c r="E2" t="str">
        <f t="shared" si="0"/>
        <v>PPA100_noRECPV</v>
      </c>
      <c r="F2" t="str">
        <f t="shared" si="0"/>
        <v>PPA100_MarketPV</v>
      </c>
      <c r="G2" t="str">
        <f t="shared" si="0"/>
        <v>PPA100_LevelisedPV</v>
      </c>
    </row>
    <row r="3" spans="1:7" x14ac:dyDescent="0.4">
      <c r="A3" t="s">
        <v>2</v>
      </c>
      <c r="B3" t="str">
        <f>"output/"&amp;B2&amp;".xlsx"</f>
        <v>output/PPA100_REFPV.xlsx</v>
      </c>
      <c r="C3" t="str">
        <f t="shared" ref="C3:G3" si="1">"output/"&amp;C2&amp;".xlsx"</f>
        <v>output/PPA100_highSMPPV.xlsx</v>
      </c>
      <c r="D3" t="str">
        <f t="shared" si="1"/>
        <v>output/PPA100_fixedRECPV.xlsx</v>
      </c>
      <c r="E3" t="str">
        <f t="shared" si="1"/>
        <v>output/PPA100_noRECPV.xlsx</v>
      </c>
      <c r="F3" t="str">
        <f t="shared" si="1"/>
        <v>output/PPA100_MarketPV.xlsx</v>
      </c>
      <c r="G3" t="str">
        <f t="shared" si="1"/>
        <v>output/PPA100_LevelisedPV.xlsx</v>
      </c>
    </row>
    <row r="4" spans="1:7" x14ac:dyDescent="0.4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">
      <c r="A5" t="s">
        <v>4</v>
      </c>
      <c r="B5">
        <v>3000</v>
      </c>
      <c r="C5">
        <v>3000</v>
      </c>
      <c r="D5">
        <v>3000</v>
      </c>
      <c r="E5">
        <v>3000</v>
      </c>
      <c r="F5">
        <v>3000</v>
      </c>
      <c r="G5">
        <v>3000</v>
      </c>
    </row>
    <row r="6" spans="1:7" x14ac:dyDescent="0.4">
      <c r="A6" t="s">
        <v>5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</row>
    <row r="7" spans="1:7" x14ac:dyDescent="0.4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4">
      <c r="A8" t="s">
        <v>7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</row>
    <row r="9" spans="1:7" x14ac:dyDescent="0.4">
      <c r="A9" t="s">
        <v>9</v>
      </c>
      <c r="B9">
        <v>2023</v>
      </c>
      <c r="C9">
        <v>2023</v>
      </c>
      <c r="D9">
        <v>2023</v>
      </c>
      <c r="E9">
        <v>2023</v>
      </c>
      <c r="F9">
        <v>2023</v>
      </c>
      <c r="G9">
        <v>2023</v>
      </c>
    </row>
    <row r="10" spans="1:7" x14ac:dyDescent="0.4">
      <c r="A10" t="s">
        <v>10</v>
      </c>
      <c r="B10">
        <v>2050</v>
      </c>
      <c r="C10">
        <v>2050</v>
      </c>
      <c r="D10">
        <v>2050</v>
      </c>
      <c r="E10">
        <v>2050</v>
      </c>
      <c r="F10">
        <v>2050</v>
      </c>
      <c r="G10">
        <v>2050</v>
      </c>
    </row>
    <row r="11" spans="1:7" x14ac:dyDescent="0.4">
      <c r="A11" t="s">
        <v>11</v>
      </c>
      <c r="B11">
        <v>2030</v>
      </c>
      <c r="C11">
        <v>2030</v>
      </c>
      <c r="D11">
        <v>2030</v>
      </c>
      <c r="E11">
        <v>2030</v>
      </c>
      <c r="F11">
        <v>2030</v>
      </c>
      <c r="G11">
        <v>2030</v>
      </c>
    </row>
    <row r="12" spans="1:7" x14ac:dyDescent="0.4">
      <c r="A12" t="s">
        <v>12</v>
      </c>
      <c r="B12" t="s">
        <v>13</v>
      </c>
      <c r="C12" t="s">
        <v>13</v>
      </c>
      <c r="D12" t="s">
        <v>13</v>
      </c>
      <c r="E12" t="s">
        <v>13</v>
      </c>
      <c r="F12" t="s">
        <v>13</v>
      </c>
      <c r="G12" t="s">
        <v>40</v>
      </c>
    </row>
    <row r="13" spans="1:7" x14ac:dyDescent="0.4">
      <c r="A13" t="s">
        <v>14</v>
      </c>
      <c r="B13">
        <v>0.04</v>
      </c>
      <c r="C13">
        <v>0.08</v>
      </c>
      <c r="D13">
        <v>0.04</v>
      </c>
      <c r="E13">
        <v>0.04</v>
      </c>
      <c r="F13">
        <v>0.04</v>
      </c>
      <c r="G13">
        <v>0.04</v>
      </c>
    </row>
    <row r="14" spans="1:7" x14ac:dyDescent="0.4">
      <c r="A14" t="s">
        <v>15</v>
      </c>
      <c r="B14" t="s">
        <v>41</v>
      </c>
      <c r="C14" t="s">
        <v>41</v>
      </c>
      <c r="D14" t="s">
        <v>41</v>
      </c>
      <c r="E14" t="s">
        <v>41</v>
      </c>
      <c r="F14" t="s">
        <v>41</v>
      </c>
      <c r="G14" t="s">
        <v>41</v>
      </c>
    </row>
    <row r="15" spans="1:7" x14ac:dyDescent="0.4">
      <c r="A15" t="s">
        <v>16</v>
      </c>
      <c r="B15" t="b">
        <v>1</v>
      </c>
      <c r="C15" t="b">
        <v>1</v>
      </c>
      <c r="D15" t="b">
        <v>1</v>
      </c>
      <c r="E15" t="b">
        <v>1</v>
      </c>
      <c r="F15" t="b">
        <v>0</v>
      </c>
      <c r="G15" t="b">
        <v>1</v>
      </c>
    </row>
    <row r="16" spans="1:7" x14ac:dyDescent="0.4">
      <c r="A16" t="s">
        <v>17</v>
      </c>
      <c r="B16">
        <v>167000</v>
      </c>
      <c r="C16">
        <v>167000</v>
      </c>
      <c r="D16">
        <v>167000</v>
      </c>
      <c r="E16">
        <v>167000</v>
      </c>
      <c r="F16">
        <v>167000</v>
      </c>
      <c r="G16">
        <v>167000</v>
      </c>
    </row>
    <row r="17" spans="1:7" x14ac:dyDescent="0.4">
      <c r="A17" t="s">
        <v>18</v>
      </c>
      <c r="B17">
        <v>0.04</v>
      </c>
      <c r="C17">
        <f>C13</f>
        <v>0.08</v>
      </c>
      <c r="D17">
        <v>0.04</v>
      </c>
      <c r="E17">
        <v>0.04</v>
      </c>
      <c r="F17">
        <v>0.04</v>
      </c>
      <c r="G17">
        <v>0.04</v>
      </c>
    </row>
    <row r="18" spans="1:7" x14ac:dyDescent="0.4">
      <c r="A18" t="s">
        <v>19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</row>
    <row r="19" spans="1:7" x14ac:dyDescent="0.4">
      <c r="A19" t="s">
        <v>20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4">
      <c r="A20" t="s">
        <v>21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4">
      <c r="A21" t="s">
        <v>22</v>
      </c>
      <c r="B21">
        <v>80000</v>
      </c>
      <c r="C21">
        <v>80000</v>
      </c>
      <c r="D21">
        <v>80000</v>
      </c>
      <c r="E21">
        <v>80000</v>
      </c>
      <c r="F21">
        <v>80000</v>
      </c>
      <c r="G21">
        <v>80000</v>
      </c>
    </row>
    <row r="22" spans="1:7" x14ac:dyDescent="0.4">
      <c r="A22" t="s">
        <v>23</v>
      </c>
      <c r="B22" t="b">
        <v>1</v>
      </c>
      <c r="C22" t="b">
        <v>1</v>
      </c>
      <c r="D22" t="b">
        <v>0</v>
      </c>
      <c r="E22" t="b">
        <v>1</v>
      </c>
      <c r="F22" t="b">
        <v>1</v>
      </c>
      <c r="G22" t="b">
        <v>1</v>
      </c>
    </row>
    <row r="23" spans="1:7" x14ac:dyDescent="0.4">
      <c r="A23" t="s">
        <v>24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4">
      <c r="A24" t="s">
        <v>25</v>
      </c>
      <c r="B24" t="b">
        <v>1</v>
      </c>
      <c r="C24" t="b">
        <v>1</v>
      </c>
      <c r="D24" t="b">
        <v>1</v>
      </c>
      <c r="E24" t="b">
        <v>0</v>
      </c>
      <c r="F24" t="b">
        <v>1</v>
      </c>
      <c r="G24" t="b">
        <v>1</v>
      </c>
    </row>
    <row r="25" spans="1:7" x14ac:dyDescent="0.4">
      <c r="A25" t="s">
        <v>26</v>
      </c>
      <c r="B25">
        <v>1400</v>
      </c>
      <c r="C25">
        <v>1400</v>
      </c>
      <c r="D25">
        <v>1400</v>
      </c>
      <c r="E25">
        <v>1400</v>
      </c>
      <c r="F25">
        <v>1400</v>
      </c>
      <c r="G25">
        <v>1400</v>
      </c>
    </row>
    <row r="26" spans="1:7" x14ac:dyDescent="0.4">
      <c r="A26" t="s">
        <v>27</v>
      </c>
      <c r="B26" t="b">
        <v>1</v>
      </c>
      <c r="C26" t="b">
        <v>1</v>
      </c>
      <c r="D26" t="b">
        <v>1</v>
      </c>
      <c r="E26" t="b">
        <v>1</v>
      </c>
      <c r="F26" t="b">
        <v>1</v>
      </c>
      <c r="G26" t="b">
        <v>0</v>
      </c>
    </row>
    <row r="27" spans="1:7" x14ac:dyDescent="0.4">
      <c r="A27" t="s">
        <v>28</v>
      </c>
      <c r="B27">
        <v>1000000000</v>
      </c>
      <c r="C27">
        <v>1000000000</v>
      </c>
      <c r="D27">
        <v>1000000000</v>
      </c>
      <c r="E27">
        <v>1000000000</v>
      </c>
      <c r="F27">
        <v>1000000000</v>
      </c>
      <c r="G27">
        <v>1000000000</v>
      </c>
    </row>
    <row r="28" spans="1:7" x14ac:dyDescent="0.4">
      <c r="A28" t="s">
        <v>29</v>
      </c>
      <c r="B28">
        <v>250000000</v>
      </c>
      <c r="C28">
        <v>250000000</v>
      </c>
      <c r="D28">
        <v>250000000</v>
      </c>
      <c r="E28">
        <v>250000000</v>
      </c>
      <c r="F28">
        <v>250000000</v>
      </c>
      <c r="G28">
        <v>250000000</v>
      </c>
    </row>
    <row r="29" spans="1:7" x14ac:dyDescent="0.4">
      <c r="A29" t="s">
        <v>30</v>
      </c>
      <c r="B29">
        <v>0.9</v>
      </c>
      <c r="C29">
        <v>0.9</v>
      </c>
      <c r="D29">
        <v>0.9</v>
      </c>
      <c r="E29">
        <v>0.9</v>
      </c>
      <c r="F29">
        <v>0.9</v>
      </c>
      <c r="G29">
        <v>0.9</v>
      </c>
    </row>
    <row r="30" spans="1:7" x14ac:dyDescent="0.4">
      <c r="A30" t="s">
        <v>31</v>
      </c>
      <c r="B30">
        <v>0.9</v>
      </c>
      <c r="C30">
        <v>0.9</v>
      </c>
      <c r="D30">
        <v>0.9</v>
      </c>
      <c r="E30">
        <v>0.9</v>
      </c>
      <c r="F30">
        <v>0.9</v>
      </c>
      <c r="G30">
        <v>0.9</v>
      </c>
    </row>
    <row r="31" spans="1:7" x14ac:dyDescent="0.4">
      <c r="A31" t="s">
        <v>32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</row>
    <row r="32" spans="1:7" x14ac:dyDescent="0.4">
      <c r="A32" t="s">
        <v>42</v>
      </c>
      <c r="B32">
        <v>20</v>
      </c>
      <c r="C32">
        <v>20</v>
      </c>
      <c r="D32">
        <v>20</v>
      </c>
      <c r="E32">
        <v>20</v>
      </c>
      <c r="F32">
        <v>20</v>
      </c>
      <c r="G32">
        <v>20</v>
      </c>
    </row>
    <row r="33" spans="1:7" x14ac:dyDescent="0.4">
      <c r="A33" t="s">
        <v>43</v>
      </c>
      <c r="B33">
        <v>0.05</v>
      </c>
      <c r="C33">
        <v>0.05</v>
      </c>
      <c r="D33">
        <v>0.05</v>
      </c>
      <c r="E33">
        <v>0.05</v>
      </c>
      <c r="F33">
        <v>0.05</v>
      </c>
      <c r="G33">
        <v>0.05</v>
      </c>
    </row>
    <row r="34" spans="1:7" x14ac:dyDescent="0.4">
      <c r="A34" t="s">
        <v>44</v>
      </c>
      <c r="B34">
        <v>7.4999999999999997E-2</v>
      </c>
      <c r="C34">
        <v>7.4999999999999997E-2</v>
      </c>
      <c r="D34">
        <v>7.4999999999999997E-2</v>
      </c>
      <c r="E34">
        <v>7.4999999999999997E-2</v>
      </c>
      <c r="F34">
        <v>7.4999999999999997E-2</v>
      </c>
      <c r="G34">
        <v>7.4999999999999997E-2</v>
      </c>
    </row>
    <row r="35" spans="1:7" x14ac:dyDescent="0.4">
      <c r="A35" t="s">
        <v>33</v>
      </c>
      <c r="B35">
        <v>25000</v>
      </c>
      <c r="C35">
        <v>25000</v>
      </c>
      <c r="D35">
        <v>25000</v>
      </c>
      <c r="E35">
        <v>25000</v>
      </c>
      <c r="F35">
        <v>25000</v>
      </c>
      <c r="G35">
        <v>25000</v>
      </c>
    </row>
    <row r="36" spans="1:7" x14ac:dyDescent="0.4">
      <c r="A36" t="s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</row>
    <row r="37" spans="1:7" x14ac:dyDescent="0.4">
      <c r="A37" t="s">
        <v>35</v>
      </c>
      <c r="B37">
        <v>0.1</v>
      </c>
      <c r="C37">
        <v>0.1</v>
      </c>
      <c r="D37">
        <v>0.1</v>
      </c>
      <c r="E37">
        <v>0.1</v>
      </c>
      <c r="F37">
        <v>0.1</v>
      </c>
      <c r="G37">
        <v>0.1</v>
      </c>
    </row>
    <row r="38" spans="1:7" x14ac:dyDescent="0.4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4">
      <c r="A39" t="s">
        <v>37</v>
      </c>
      <c r="B39">
        <v>120</v>
      </c>
      <c r="C39">
        <v>120</v>
      </c>
      <c r="D39">
        <v>120</v>
      </c>
      <c r="E39">
        <v>120</v>
      </c>
      <c r="F39">
        <v>120</v>
      </c>
      <c r="G39">
        <v>120</v>
      </c>
    </row>
    <row r="40" spans="1:7" x14ac:dyDescent="0.4">
      <c r="A40" t="s">
        <v>38</v>
      </c>
      <c r="B40">
        <v>20000</v>
      </c>
      <c r="C40">
        <v>20000</v>
      </c>
      <c r="D40">
        <v>20000</v>
      </c>
      <c r="E40">
        <v>20000</v>
      </c>
      <c r="F40">
        <v>20000</v>
      </c>
      <c r="G40">
        <v>20000</v>
      </c>
    </row>
    <row r="41" spans="1:7" x14ac:dyDescent="0.4">
      <c r="A41" t="s">
        <v>39</v>
      </c>
      <c r="B41">
        <v>5</v>
      </c>
      <c r="C41">
        <v>5</v>
      </c>
      <c r="D41">
        <v>5</v>
      </c>
      <c r="E41">
        <v>5</v>
      </c>
      <c r="F41">
        <v>5</v>
      </c>
      <c r="G41">
        <v>5</v>
      </c>
    </row>
  </sheetData>
  <phoneticPr fontId="18" type="noConversion"/>
  <conditionalFormatting sqref="B1:B33 B35:B1048576 B3:G3">
    <cfRule type="expression" dxfId="4" priority="69">
      <formula>$B1&lt;&gt;#REF!</formula>
    </cfRule>
  </conditionalFormatting>
  <conditionalFormatting sqref="C1:C31 C35:C41">
    <cfRule type="expression" dxfId="3" priority="37">
      <formula>$B1&lt;&gt;$C1</formula>
    </cfRule>
  </conditionalFormatting>
  <conditionalFormatting sqref="D1">
    <cfRule type="expression" dxfId="2" priority="35">
      <formula>$B1&lt;&gt;D1</formula>
    </cfRule>
  </conditionalFormatting>
  <conditionalFormatting sqref="E1">
    <cfRule type="expression" dxfId="1" priority="34">
      <formula>#REF!&lt;&gt;E1</formula>
    </cfRule>
  </conditionalFormatting>
  <conditionalFormatting sqref="F1:G1 D2:G31 D35:G41">
    <cfRule type="expression" dxfId="0" priority="45">
      <formula>$B1&lt;&gt;D1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scenario_defaults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Sanghyun Hong</cp:lastModifiedBy>
  <dcterms:created xsi:type="dcterms:W3CDTF">2025-02-05T07:15:19Z</dcterms:created>
  <dcterms:modified xsi:type="dcterms:W3CDTF">2025-02-25T13:12:00Z</dcterms:modified>
</cp:coreProperties>
</file>